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13872f1bf042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f3404c97b28b44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.00%"/>
    <x:numFmt numFmtId="202" formatCode="0.00"/>
  </x:numFmts>
  <x:fonts count="7">
    <x:font>
      <x:sz val="11"/>
      <x:name val="Carlito"/>
    </x:font>
    <x:font>
      <x:sz val="11"/>
      <x:name val="Arial"/>
    </x:font>
    <x:font>
      <x:sz val="16"/>
      <x:name val="Arial"/>
    </x:font>
    <x:font>
      <x:b/>
      <x:sz val="16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F39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369c2a97a04a1a" /><Relationship Type="http://schemas.openxmlformats.org/officeDocument/2006/relationships/theme" Target="/xl/theme/theme1.xml" Id="Rcc2d7b230b2347af" /><Relationship Type="http://schemas.openxmlformats.org/officeDocument/2006/relationships/sharedStrings" Target="/xl/sharedStrings.xml" Id="R967ea7f36d5c4145" /><Relationship Type="http://schemas.openxmlformats.org/officeDocument/2006/relationships/worksheet" Target="/xl/worksheets/sheet1.xml" Id="Rf3404c97b28b44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1" hidden="0" customWidth="1"/>
    <x:col min="3" max="3" width="18" hidden="0" customWidth="1"/>
    <x:col min="4" max="4" width="3" hidden="0" customWidth="1"/>
    <x:col min="5" max="5" width="31" hidden="0" customWidth="1"/>
    <x:col min="6" max="6" width="20" hidden="0" customWidth="1"/>
  </x:cols>
  <x:sheetData>
    <x:row r="1" ht="24" customHeight="1">
      <x:c r="A1" s="1"/>
      <x:c r="B1" s="1"/>
      <x:c r="C1" s="1"/>
      <x:c r="D1" s="1"/>
      <x:c r="E1" s="1"/>
      <x:c r="F1" s="1"/>
    </x:row>
    <x:row r="2" ht="24" customHeight="1">
      <x:c r="A2" s="1"/>
      <x:c r="B2" s="3" t="str">
        <x:v>Control de indicadores de planta</x:v>
      </x:c>
      <x:c r="C2" s="1"/>
      <x:c r="D2" s="1"/>
      <x:c r="E2" s="1"/>
      <x:c r="F2" s="1"/>
    </x:row>
    <x:row r="3" ht="24" customHeight="1">
      <x:c r="A3" s="1"/>
      <x:c r="B3" s="1" t="str">
        <x:v>06/04/2026 · L3 · Turno 1 · P002</x:v>
      </x:c>
      <x:c r="C3" s="1"/>
      <x:c r="D3" s="1"/>
      <x:c r="E3" s="1"/>
      <x:c r="F3" s="1"/>
    </x:row>
    <x:row r="4" ht="24" customHeight="1">
      <x:c r="A4" s="1"/>
      <x:c r="B4" s="1"/>
      <x:c r="C4" s="1"/>
      <x:c r="D4" s="1"/>
      <x:c r="E4" s="1"/>
      <x:c r="F4" s="1"/>
    </x:row>
    <x:row r="5" ht="24" customHeight="1">
      <x:c r="A5" s="1"/>
      <x:c r="B5" s="6" t="str">
        <x:v>Indicador</x:v>
      </x:c>
      <x:c r="C5" s="6" t="str">
        <x:v>Resultado</x:v>
      </x:c>
      <x:c r="D5" s="1"/>
      <x:c r="E5" s="6" t="str">
        <x:v>Dato del registro</x:v>
      </x:c>
      <x:c r="F5" s="6" t="str">
        <x:v>Valor</x:v>
      </x:c>
    </x:row>
    <x:row r="6" ht="24" customHeight="1">
      <x:c r="A6" s="1"/>
      <x:c r="B6" s="1" t="str">
        <x:v>Cumplimiento</x:v>
      </x:c>
      <x:c r="C6" s="8" t="n">
        <x:f>IFERROR(F6/F7,"")</x:f>
        <x:v>0.771838331160365</x:v>
      </x:c>
      <x:c r="D6" s="1"/>
      <x:c r="E6" s="1" t="str">
        <x:v>Piezas producidas</x:v>
      </x:c>
      <x:c r="F6" s="7" t="n">
        <x:v>592</x:v>
      </x:c>
    </x:row>
    <x:row r="7" ht="24" customHeight="1">
      <x:c r="A7" s="1"/>
      <x:c r="B7" s="1" t="str">
        <x:v>Yield</x:v>
      </x:c>
      <x:c r="C7" s="8" t="n">
        <x:f>IFERROR(F8/F6,"")</x:f>
        <x:v>0.8648648648648649</x:v>
      </x:c>
      <x:c r="D7" s="1"/>
      <x:c r="E7" s="1" t="str">
        <x:v>Plan</x:v>
      </x:c>
      <x:c r="F7" s="7" t="n">
        <x:v>767</x:v>
      </x:c>
    </x:row>
    <x:row r="8" ht="24" customHeight="1">
      <x:c r="A8" s="1"/>
      <x:c r="B8" s="1" t="str">
        <x:v>Scrap</x:v>
      </x:c>
      <x:c r="C8" s="8" t="n">
        <x:f>IFERROR(F9/F6,"")</x:f>
        <x:v>0.13513513513513514</x:v>
      </x:c>
      <x:c r="D8" s="1"/>
      <x:c r="E8" s="1" t="str">
        <x:v>Buenas</x:v>
      </x:c>
      <x:c r="F8" s="7" t="n">
        <x:v>512</x:v>
      </x:c>
    </x:row>
    <x:row r="9" ht="24" customHeight="1">
      <x:c r="A9" s="1"/>
      <x:c r="B9" s="1" t="str">
        <x:v>Disponibilidad</x:v>
      </x:c>
      <x:c r="C9" s="8" t="n">
        <x:f>IFERROR(F11/F10,"")</x:f>
        <x:v>0.8</x:v>
      </x:c>
      <x:c r="D9" s="1"/>
      <x:c r="E9" s="1" t="str">
        <x:v>Rechazadas</x:v>
      </x:c>
      <x:c r="F9" s="7" t="n">
        <x:v>80</x:v>
      </x:c>
    </x:row>
    <x:row r="10" ht="24" customHeight="1">
      <x:c r="A10" s="1"/>
      <x:c r="B10" s="1" t="str">
        <x:v>Rendimiento</x:v>
      </x:c>
      <x:c r="C10" s="8" t="n">
        <x:f>IFERROR((F6/F12)/(F11/60),"")</x:f>
        <x:v>0.896969696969697</x:v>
      </x:c>
      <x:c r="D10" s="1"/>
      <x:c r="E10" s="1" t="str">
        <x:v>Minutos programados</x:v>
      </x:c>
      <x:c r="F10" s="7" t="n">
        <x:v>450</x:v>
      </x:c>
    </x:row>
    <x:row r="11" ht="24" customHeight="1">
      <x:c r="A11" s="1"/>
      <x:c r="B11" s="1" t="str">
        <x:v>OEE</x:v>
      </x:c>
      <x:c r="C11" s="8" t="n">
        <x:f>C9*C10*C7</x:f>
        <x:v>0.6206060606060607</x:v>
      </x:c>
      <x:c r="D11" s="1"/>
      <x:c r="E11" s="1" t="str">
        <x:v>Minutos operación</x:v>
      </x:c>
      <x:c r="F11" s="7" t="n">
        <x:v>360</x:v>
      </x:c>
    </x:row>
    <x:row r="12" ht="24" customHeight="1">
      <x:c r="A12" s="1"/>
      <x:c r="B12" s="1" t="str">
        <x:v>MTTR min</x:v>
      </x:c>
      <x:c r="C12" s="9" t="n">
        <x:f>IFERROR(F13/F14,"")</x:f>
        <x:v>90</x:v>
      </x:c>
      <x:c r="D12" s="1"/>
      <x:c r="E12" s="1" t="str">
        <x:v>Estándar piezas/hora</x:v>
      </x:c>
      <x:c r="F12" s="7" t="n">
        <x:v>110</x:v>
      </x:c>
    </x:row>
    <x:row r="13" ht="24" customHeight="1">
      <x:c r="A13" s="1"/>
      <x:c r="B13" s="1" t="str">
        <x:v>MTBF h</x:v>
      </x:c>
      <x:c r="C13" s="9" t="n">
        <x:f>IFERROR(F15/F14,"")</x:f>
        <x:v>12</x:v>
      </x:c>
      <x:c r="D13" s="1"/>
      <x:c r="E13" s="1" t="str">
        <x:v>Reparación minutos</x:v>
      </x:c>
      <x:c r="F13" s="7" t="n">
        <x:v>90</x:v>
      </x:c>
    </x:row>
    <x:row r="14" ht="24" customHeight="1">
      <x:c r="A14" s="1"/>
      <x:c r="B14" s="1"/>
      <x:c r="C14" s="1"/>
      <x:c r="D14" s="1"/>
      <x:c r="E14" s="1" t="str">
        <x:v>Fallas con paro</x:v>
      </x:c>
      <x:c r="F14" s="7" t="n">
        <x:v>1</x:v>
      </x:c>
    </x:row>
    <x:row r="15" ht="24" customHeight="1">
      <x:c r="A15" s="1"/>
      <x:c r="B15" s="1"/>
      <x:c r="C15" s="1"/>
      <x:c r="D15" s="1"/>
      <x:c r="E15" s="1" t="str">
        <x:v>Exposición horas-equipo</x:v>
      </x:c>
      <x:c r="F15" s="7" t="n">
        <x:v>12</x:v>
      </x:c>
    </x:row>
    <x:row r="16" ht="24" customHeight="1">
      <x:c r="A16" s="1"/>
      <x:c r="B16" s="1"/>
      <x:c r="C16" s="1"/>
      <x:c r="D16" s="1"/>
      <x:c r="E16" s="1"/>
      <x:c r="F16" s="1"/>
    </x:row>
    <x:row r="17" ht="24" customHeight="1">
      <x:c r="A17" s="1"/>
      <x:c r="B17" s="10" t="str">
        <x:v>Fuente y reglas del control</x:v>
      </x:c>
      <x:c r="C17" s="1"/>
      <x:c r="D17" s="1"/>
      <x:c r="E17" s="1"/>
      <x:c r="F17" s="1"/>
    </x:row>
    <x:row r="18" ht="24" customHeight="1">
      <x:c r="A18" s="1"/>
      <x:c r="B18" s="1" t="str">
        <x:v>Caso sintético Prácticas 2025–2026; actividad 3.2.</x:v>
      </x:c>
      <x:c r="C18" s="1"/>
      <x:c r="D18" s="1"/>
      <x:c r="E18" s="1"/>
      <x:c r="F18" s="1"/>
    </x:row>
    <x:row r="19" ht="24" customHeight="1">
      <x:c r="A19" s="1"/>
      <x:c r="B19" s="1" t="str">
        <x:v>Registro P04675 tras retirar copias exactas y normalizar claves.</x:v>
      </x:c>
      <x:c r="C19" s="1"/>
      <x:c r="D19" s="1"/>
      <x:c r="E19" s="1"/>
      <x:c r="F19" s="1"/>
    </x:row>
    <x:row r="20" ht="24" customHeight="1">
      <x:c r="A20" s="1"/>
      <x:c r="B20" s="1" t="str">
        <x:v>Los datos de calidad y mantenimiento usan el mismo corte.</x:v>
      </x:c>
      <x:c r="C20" s="1"/>
      <x:c r="D20" s="1"/>
      <x:c r="E20" s="1"/>
      <x:c r="F20" s="1"/>
    </x:row>
    <x:row r="21" ht="24" customHeight="1">
      <x:c r="A21" s="1"/>
      <x:c r="B21" s="1" t="str">
        <x:v>Turno de mantenimiento derivado en 3.2; relación 17 activa.</x:v>
      </x:c>
      <x:c r="C21" s="1"/>
      <x:c r="D21" s="1"/>
      <x:c r="E21" s="1"/>
      <x:c r="F21" s="1"/>
    </x:row>
    <x:row r="22" ht="24" customHeight="1">
      <x:c r="A22" s="1"/>
      <x:c r="B22" s="1" t="str">
        <x:v>Exposición: dos equipos × seis horas; no son horas únicas de línea.</x:v>
      </x:c>
      <x:c r="C22" s="1"/>
      <x:c r="D22" s="1"/>
      <x:c r="E22" s="1"/>
      <x:c r="F22" s="1"/>
    </x:row>
    <x:row r="23" ht="24" customHeight="1">
      <x:c r="A23" s="1"/>
      <x:c r="B23" s="1" t="str">
        <x:v>OEE usa horas únicas del bloque; MTBF usa horas-equipo.</x:v>
      </x:c>
      <x:c r="C23" s="1"/>
      <x:c r="D23" s="1"/>
      <x:c r="E23" s="1"/>
      <x:c r="F23" s="1"/>
    </x:row>
    <x:row r="24" ht="24" customHeight="1">
      <x:c r="A24" s="1"/>
      <x:c r="B24" s="1" t="str">
        <x:v>El estándar de P002 se contrasta con la ficha de ingeniería.</x:v>
      </x:c>
      <x:c r="C24" s="1"/>
      <x:c r="D24" s="1"/>
      <x:c r="E24" s="1"/>
      <x:c r="F24" s="1"/>
    </x:row>
    <x:row r="25" ht="24" customHeight="1">
      <x:c r="A25" s="1"/>
      <x:c r="B25" s="1" t="str">
        <x:v>CSV crudos en actividad-3-2.zip; no modificar el origen.</x:v>
      </x:c>
      <x:c r="C25" s="1"/>
      <x:c r="D25" s="1"/>
      <x:c r="E25" s="1"/>
      <x:c r="F25" s="1"/>
    </x:row>
    <x:row r="26" ht="24" customHeight="1">
      <x:c r="A26" s="1"/>
      <x:c r="B26" s="1"/>
      <x:c r="C26" s="1"/>
      <x:c r="D26" s="1"/>
      <x:c r="E26" s="1"/>
      <x:c r="F26" s="1"/>
    </x:row>
    <x:row r="27" ht="24" customHeight="1">
      <x:c r="A27" s="1"/>
      <x:c r="B27" s="1"/>
      <x:c r="C27" s="1"/>
      <x:c r="D27" s="1"/>
      <x:c r="E27" s="1"/>
      <x:c r="F27" s="1"/>
    </x:row>
    <x:row r="28" ht="24" customHeight="1">
      <x:c r="A28" s="1"/>
      <x:c r="B28" s="1"/>
      <x:c r="C28" s="1"/>
      <x:c r="D28" s="1"/>
      <x:c r="E28" s="1"/>
      <x:c r="F28" s="1"/>
    </x:row>
    <x:row r="29" ht="24" customHeight="1">
      <x:c r="A29" s="1"/>
      <x:c r="B29" s="1"/>
      <x:c r="C29" s="1"/>
      <x:c r="D29" s="1"/>
      <x:c r="E29" s="1"/>
      <x:c r="F29" s="1"/>
    </x:row>
    <x:row r="30" ht="24" customHeight="1">
      <x:c r="A30" s="1"/>
      <x:c r="B30" s="1"/>
      <x:c r="C30" s="1"/>
      <x:c r="D30" s="1"/>
      <x:c r="E30" s="1"/>
      <x:c r="F30" s="1"/>
    </x:row>
    <x:row r="31" ht="24" customHeight="1">
      <x:c r="A31" s="1"/>
      <x:c r="B31" s="1"/>
      <x:c r="C31" s="1"/>
      <x:c r="D31" s="1"/>
      <x:c r="E31" s="1"/>
      <x:c r="F31" s="1"/>
    </x:row>
    <x:row r="32" ht="24" customHeight="1">
      <x:c r="A32" s="1"/>
      <x:c r="B32" s="1"/>
      <x:c r="C32" s="1"/>
      <x:c r="D32" s="1"/>
      <x:c r="E32" s="1"/>
      <x:c r="F32" s="1"/>
    </x:row>
  </x:sheetData>
  <x:pageMargins left="0.7" right="0.7" top="0.75" bottom="0.75" header="0.3" footer="0.3"/>
</x:worksheet>
</file>